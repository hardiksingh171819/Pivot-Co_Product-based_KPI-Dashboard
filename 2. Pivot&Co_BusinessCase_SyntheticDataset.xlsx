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ardi\Downloads\Pivot &amp;Co_Work\"/>
    </mc:Choice>
  </mc:AlternateContent>
  <xr:revisionPtr revIDLastSave="0" documentId="13_ncr:1_{F4F52E4A-2309-4540-8DCC-4B093BA82D3D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Media_Investment" sheetId="1" r:id="rId1"/>
    <sheet name="Market_Performance" sheetId="2" r:id="rId2"/>
    <sheet name="Consumer_Perception" sheetId="3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2" l="1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" i="2"/>
  <c r="H2" i="2"/>
</calcChain>
</file>

<file path=xl/sharedStrings.xml><?xml version="1.0" encoding="utf-8"?>
<sst xmlns="http://schemas.openxmlformats.org/spreadsheetml/2006/main" count="237" uniqueCount="32">
  <si>
    <t>Month</t>
  </si>
  <si>
    <t>Market</t>
  </si>
  <si>
    <t>Paid Media Spend (€)</t>
  </si>
  <si>
    <t>Working Media Intensity (%)</t>
  </si>
  <si>
    <t>Non-Working/Working Ratio (%)</t>
  </si>
  <si>
    <t>Working Media Share (%)</t>
  </si>
  <si>
    <t>Online Spend (€)</t>
  </si>
  <si>
    <t>Offline Spend (€)</t>
  </si>
  <si>
    <t>Channel Mix Index</t>
  </si>
  <si>
    <t>Jan-2024</t>
  </si>
  <si>
    <t>Market A</t>
  </si>
  <si>
    <t>Feb-2024</t>
  </si>
  <si>
    <t>Mar-2024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</si>
  <si>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</si>
  <si>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</si>
  <si>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</si>
  <si>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</si>
  <si>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</si>
  <si>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</si>
  <si>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</si>
  <si>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</si>
  <si>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Dec-2024</t>
  </si>
  <si>
    <t>Market B</t>
  </si>
  <si>
    <t>Market C</t>
  </si>
  <si>
    <t>Brand A Market Share (%)</t>
  </si>
  <si>
    <t>Brand B Market Share (%)</t>
  </si>
  <si>
    <t>Media Share of Voice (%)</t>
  </si>
  <si>
    <t>Category Share (%)</t>
  </si>
  <si>
    <t>Awareness (%)</t>
  </si>
  <si>
    <t>Consideration (%)</t>
  </si>
  <si>
    <t>Preference (%)</t>
  </si>
  <si>
    <t>Social Sentiment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</si>
</sst>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workbookViewId="0">
      <pane ySplit="1" topLeftCell="A2" activePane="bottomLeft" state="frozen"/>
      <selection pane="bottomLeft" activeCell="F15" sqref="F15"/>
    </sheetView>
  </sheetViews>
  <sheetFormatPr defaultRowHeight="14.4" x14ac:dyDescent="0.3"/>
  <cols>
    <col min="1" max="1" width="18.77734375" customWidth="1"/>
    <col min="2" max="2" width="20" customWidth="1"/>
    <col min="3" max="3" width="22" customWidth="1"/>
    <col min="4" max="4" width="26.77734375" customWidth="1"/>
    <col min="5" max="5" width="27.5546875" customWidth="1"/>
    <col min="6" max="6" width="27.109375" customWidth="1"/>
    <col min="7" max="7" width="16" customWidth="1"/>
    <col min="8" max="8" width="17.5546875" customWidth="1"/>
    <col min="9" max="9" width="20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>
        <v>1163114.83</v>
      </c>
      <c r="D2">
        <v>11.44</v>
      </c>
      <c r="E2">
        <v>30.36</v>
      </c>
      <c r="F2">
        <v>71.040000000000006</v>
      </c>
      <c r="G2">
        <v>731428.58578956127</v>
      </c>
      <c r="H2">
        <v>592888.59245293599</v>
      </c>
      <c r="I2">
        <v>1.233669520864134</v>
      </c>
    </row>
    <row r="3" spans="1:9" x14ac:dyDescent="0.3">
      <c r="A3" t="s">
        <v>11</v>
      </c>
      <c r="B3" t="s">
        <v>10</v>
      </c>
      <c r="C3">
        <v>1048253.64</v>
      </c>
      <c r="D3">
        <v>17.07</v>
      </c>
      <c r="E3">
        <v>31.2</v>
      </c>
      <c r="F3">
        <v>65.739999999999995</v>
      </c>
      <c r="G3">
        <v>676272.79813268187</v>
      </c>
      <c r="H3">
        <v>438040.39250571339</v>
      </c>
      <c r="I3">
        <v>1.543859446953679</v>
      </c>
    </row>
    <row r="4" spans="1:9" x14ac:dyDescent="0.3">
      <c r="A4" t="s">
        <v>12</v>
      </c>
      <c r="B4" t="s">
        <v>10</v>
      </c>
      <c r="C4">
        <v>1350732.34</v>
      </c>
      <c r="D4">
        <v>17.420000000000002</v>
      </c>
      <c r="E4">
        <v>39.68</v>
      </c>
      <c r="F4">
        <v>75.78</v>
      </c>
      <c r="G4">
        <v>676623.4942840205</v>
      </c>
      <c r="H4">
        <v>621035.08352301246</v>
      </c>
      <c r="I4">
        <v>1.0895092921880849</v>
      </c>
    </row>
    <row r="5" spans="1:9" x14ac:dyDescent="0.3">
      <c r="A5" t="s">
        <v>13</v>
      </c>
      <c r="B5" t="s">
        <v>10</v>
      </c>
      <c r="C5">
        <v>1132559.8500000001</v>
      </c>
      <c r="D5">
        <v>16.78</v>
      </c>
      <c r="E5">
        <v>28.4</v>
      </c>
      <c r="F5">
        <v>71.28</v>
      </c>
      <c r="G5">
        <v>541298.49680864939</v>
      </c>
      <c r="H5">
        <v>595174.85877137026</v>
      </c>
      <c r="I5">
        <v>0.90947809508783095</v>
      </c>
    </row>
    <row r="6" spans="1:9" x14ac:dyDescent="0.3">
      <c r="A6" t="s">
        <v>14</v>
      </c>
      <c r="B6" t="s">
        <v>10</v>
      </c>
      <c r="C6">
        <v>952247.09</v>
      </c>
      <c r="D6">
        <v>14.95</v>
      </c>
      <c r="E6">
        <v>37.49</v>
      </c>
      <c r="F6">
        <v>63.84</v>
      </c>
      <c r="G6">
        <v>561326.57884250837</v>
      </c>
      <c r="H6">
        <v>479277.03030428581</v>
      </c>
      <c r="I6">
        <v>1.1711944102024221</v>
      </c>
    </row>
    <row r="7" spans="1:9" x14ac:dyDescent="0.3">
      <c r="A7" t="s">
        <v>15</v>
      </c>
      <c r="B7" t="s">
        <v>10</v>
      </c>
      <c r="C7">
        <v>1351040.55</v>
      </c>
      <c r="D7">
        <v>16.55</v>
      </c>
      <c r="E7">
        <v>21.96</v>
      </c>
      <c r="F7">
        <v>68.739999999999995</v>
      </c>
      <c r="G7">
        <v>786251.31884356297</v>
      </c>
      <c r="H7">
        <v>587877.50905774988</v>
      </c>
      <c r="I7">
        <v>1.3374407197349529</v>
      </c>
    </row>
    <row r="8" spans="1:9" x14ac:dyDescent="0.3">
      <c r="A8" t="s">
        <v>16</v>
      </c>
      <c r="B8" t="s">
        <v>10</v>
      </c>
      <c r="C8">
        <v>1036504.13</v>
      </c>
      <c r="D8">
        <v>11.76</v>
      </c>
      <c r="E8">
        <v>38.97</v>
      </c>
      <c r="F8">
        <v>70.88</v>
      </c>
      <c r="G8">
        <v>667053.85999890708</v>
      </c>
      <c r="H8">
        <v>565938.85141432239</v>
      </c>
      <c r="I8">
        <v>1.1786677276530919</v>
      </c>
    </row>
    <row r="9" spans="1:9" x14ac:dyDescent="0.3">
      <c r="A9" t="s">
        <v>17</v>
      </c>
      <c r="B9" t="s">
        <v>10</v>
      </c>
      <c r="C9">
        <v>1102948.72</v>
      </c>
      <c r="D9">
        <v>15.54</v>
      </c>
      <c r="E9">
        <v>28.39</v>
      </c>
      <c r="F9">
        <v>73.3</v>
      </c>
      <c r="G9">
        <v>649720.37766000431</v>
      </c>
      <c r="H9">
        <v>471549.43675376521</v>
      </c>
      <c r="I9">
        <v>1.3778414880930041</v>
      </c>
    </row>
    <row r="10" spans="1:9" x14ac:dyDescent="0.3">
      <c r="A10" t="s">
        <v>18</v>
      </c>
      <c r="B10" t="s">
        <v>10</v>
      </c>
      <c r="C10">
        <v>1356670.92</v>
      </c>
      <c r="D10">
        <v>14.17</v>
      </c>
      <c r="E10">
        <v>34.630000000000003</v>
      </c>
      <c r="F10">
        <v>64.39</v>
      </c>
      <c r="G10">
        <v>769244.39876535127</v>
      </c>
      <c r="H10">
        <v>555044.88206279872</v>
      </c>
      <c r="I10">
        <v>1.3859138668077271</v>
      </c>
    </row>
    <row r="11" spans="1:9" x14ac:dyDescent="0.3">
      <c r="A11" t="s">
        <v>19</v>
      </c>
      <c r="B11" t="s">
        <v>10</v>
      </c>
      <c r="C11">
        <v>1228570.3999999999</v>
      </c>
      <c r="D11">
        <v>15.09</v>
      </c>
      <c r="E11">
        <v>32.58</v>
      </c>
      <c r="F11">
        <v>72.78</v>
      </c>
      <c r="G11">
        <v>782221.39091005269</v>
      </c>
      <c r="H11">
        <v>675141.05147891224</v>
      </c>
      <c r="I11">
        <v>1.158604397088568</v>
      </c>
    </row>
    <row r="12" spans="1:9" x14ac:dyDescent="0.3">
      <c r="A12" t="s">
        <v>20</v>
      </c>
      <c r="B12" t="s">
        <v>10</v>
      </c>
      <c r="C12">
        <v>1001206.79</v>
      </c>
      <c r="D12">
        <v>15.36</v>
      </c>
      <c r="E12">
        <v>29.96</v>
      </c>
      <c r="F12">
        <v>65.069999999999993</v>
      </c>
      <c r="G12">
        <v>495483.18013225723</v>
      </c>
      <c r="H12">
        <v>489546.21155211382</v>
      </c>
      <c r="I12">
        <v>1.012127493646001</v>
      </c>
    </row>
    <row r="13" spans="1:9" x14ac:dyDescent="0.3">
      <c r="A13" t="s">
        <v>21</v>
      </c>
      <c r="B13" t="s">
        <v>10</v>
      </c>
      <c r="C13">
        <v>1312555.4099999999</v>
      </c>
      <c r="D13">
        <v>23.03</v>
      </c>
      <c r="E13">
        <v>30.9</v>
      </c>
      <c r="F13">
        <v>72.19</v>
      </c>
      <c r="G13">
        <v>594398.9952854804</v>
      </c>
      <c r="H13">
        <v>658262.20699796686</v>
      </c>
      <c r="I13">
        <v>0.90298210797674805</v>
      </c>
    </row>
    <row r="14" spans="1:9" x14ac:dyDescent="0.3">
      <c r="A14" t="s">
        <v>9</v>
      </c>
      <c r="B14" t="s">
        <v>22</v>
      </c>
      <c r="C14">
        <v>1272470.3999999999</v>
      </c>
      <c r="D14">
        <v>15.06</v>
      </c>
      <c r="E14">
        <v>39.92</v>
      </c>
      <c r="F14">
        <v>72.400000000000006</v>
      </c>
      <c r="G14">
        <v>573342.29402158351</v>
      </c>
      <c r="H14">
        <v>651259.80019220256</v>
      </c>
      <c r="I14">
        <v>0.88035879666390082</v>
      </c>
    </row>
    <row r="15" spans="1:9" x14ac:dyDescent="0.3">
      <c r="A15" t="s">
        <v>11</v>
      </c>
      <c r="B15" t="s">
        <v>22</v>
      </c>
      <c r="C15">
        <v>1232186.33</v>
      </c>
      <c r="D15">
        <v>12.52</v>
      </c>
      <c r="E15">
        <v>33.479999999999997</v>
      </c>
      <c r="F15">
        <v>64.959999999999994</v>
      </c>
      <c r="G15">
        <v>715171.04515814222</v>
      </c>
      <c r="H15">
        <v>466915.69341267011</v>
      </c>
      <c r="I15">
        <v>1.531692027559977</v>
      </c>
    </row>
    <row r="16" spans="1:9" x14ac:dyDescent="0.3">
      <c r="A16" t="s">
        <v>12</v>
      </c>
      <c r="B16" t="s">
        <v>22</v>
      </c>
      <c r="C16">
        <v>1064274.33</v>
      </c>
      <c r="D16">
        <v>17.559999999999999</v>
      </c>
      <c r="E16">
        <v>28.79</v>
      </c>
      <c r="F16">
        <v>67.92</v>
      </c>
      <c r="G16">
        <v>564653.01951118058</v>
      </c>
      <c r="H16">
        <v>431401.19146352803</v>
      </c>
      <c r="I16">
        <v>1.308881455757011</v>
      </c>
    </row>
    <row r="17" spans="1:9" x14ac:dyDescent="0.3">
      <c r="A17" t="s">
        <v>13</v>
      </c>
      <c r="B17" t="s">
        <v>22</v>
      </c>
      <c r="C17">
        <v>1215053.1499999999</v>
      </c>
      <c r="D17">
        <v>10.68</v>
      </c>
      <c r="E17">
        <v>25.93</v>
      </c>
      <c r="F17">
        <v>70.150000000000006</v>
      </c>
      <c r="G17">
        <v>691866.51451433334</v>
      </c>
      <c r="H17">
        <v>473916.52584300638</v>
      </c>
      <c r="I17">
        <v>1.4598910921475821</v>
      </c>
    </row>
    <row r="18" spans="1:9" x14ac:dyDescent="0.3">
      <c r="A18" t="s">
        <v>14</v>
      </c>
      <c r="B18" t="s">
        <v>22</v>
      </c>
      <c r="C18">
        <v>985862.3</v>
      </c>
      <c r="D18">
        <v>18.21</v>
      </c>
      <c r="E18">
        <v>29.75</v>
      </c>
      <c r="F18">
        <v>79.099999999999994</v>
      </c>
      <c r="G18">
        <v>614970.95718805073</v>
      </c>
      <c r="H18">
        <v>370928.333598144</v>
      </c>
      <c r="I18">
        <v>1.657923920790904</v>
      </c>
    </row>
    <row r="19" spans="1:9" x14ac:dyDescent="0.3">
      <c r="A19" t="s">
        <v>15</v>
      </c>
      <c r="B19" t="s">
        <v>22</v>
      </c>
      <c r="C19">
        <v>1131782.8500000001</v>
      </c>
      <c r="D19">
        <v>16.329999999999998</v>
      </c>
      <c r="E19">
        <v>22.38</v>
      </c>
      <c r="F19">
        <v>68.180000000000007</v>
      </c>
      <c r="G19">
        <v>732018.05001245439</v>
      </c>
      <c r="H19">
        <v>499600.07538933988</v>
      </c>
      <c r="I19">
        <v>1.4652080455098779</v>
      </c>
    </row>
    <row r="20" spans="1:9" x14ac:dyDescent="0.3">
      <c r="A20" t="s">
        <v>16</v>
      </c>
      <c r="B20" t="s">
        <v>22</v>
      </c>
      <c r="C20">
        <v>1202998.42</v>
      </c>
      <c r="D20">
        <v>9.39</v>
      </c>
      <c r="E20">
        <v>26.56</v>
      </c>
      <c r="F20">
        <v>58.25</v>
      </c>
      <c r="G20">
        <v>664926.68456887431</v>
      </c>
      <c r="H20">
        <v>579108.64036470221</v>
      </c>
      <c r="I20">
        <v>1.1481898873735421</v>
      </c>
    </row>
    <row r="21" spans="1:9" x14ac:dyDescent="0.3">
      <c r="A21" t="s">
        <v>17</v>
      </c>
      <c r="B21" t="s">
        <v>22</v>
      </c>
      <c r="C21">
        <v>1127089.31</v>
      </c>
      <c r="D21">
        <v>16.02</v>
      </c>
      <c r="E21">
        <v>31.18</v>
      </c>
      <c r="F21">
        <v>75.78</v>
      </c>
      <c r="G21">
        <v>628661.51654153969</v>
      </c>
      <c r="H21">
        <v>575611.79483465874</v>
      </c>
      <c r="I21">
        <v>1.092162325671588</v>
      </c>
    </row>
    <row r="22" spans="1:9" x14ac:dyDescent="0.3">
      <c r="A22" t="s">
        <v>18</v>
      </c>
      <c r="B22" t="s">
        <v>22</v>
      </c>
      <c r="C22">
        <v>1260714.56</v>
      </c>
      <c r="D22">
        <v>12.77</v>
      </c>
      <c r="E22">
        <v>32.65</v>
      </c>
      <c r="F22">
        <v>73.209999999999994</v>
      </c>
      <c r="G22">
        <v>619787.03457143088</v>
      </c>
      <c r="H22">
        <v>639597.53748811013</v>
      </c>
      <c r="I22">
        <v>0.96902661163429238</v>
      </c>
    </row>
    <row r="23" spans="1:9" x14ac:dyDescent="0.3">
      <c r="A23" t="s">
        <v>19</v>
      </c>
      <c r="B23" t="s">
        <v>22</v>
      </c>
      <c r="C23">
        <v>990242.69</v>
      </c>
      <c r="D23">
        <v>15.48</v>
      </c>
      <c r="E23">
        <v>30.02</v>
      </c>
      <c r="F23">
        <v>56.38</v>
      </c>
      <c r="G23">
        <v>516118.12990397669</v>
      </c>
      <c r="H23">
        <v>469622.81820670603</v>
      </c>
      <c r="I23">
        <v>1.099005648541157</v>
      </c>
    </row>
    <row r="24" spans="1:9" x14ac:dyDescent="0.3">
      <c r="A24" t="s">
        <v>20</v>
      </c>
      <c r="B24" t="s">
        <v>22</v>
      </c>
      <c r="C24">
        <v>1066466.32</v>
      </c>
      <c r="D24">
        <v>12.79</v>
      </c>
      <c r="E24">
        <v>34.33</v>
      </c>
      <c r="F24">
        <v>64.28</v>
      </c>
      <c r="G24">
        <v>674458.47748148884</v>
      </c>
      <c r="H24">
        <v>528649.20213034656</v>
      </c>
      <c r="I24">
        <v>1.2758148026154259</v>
      </c>
    </row>
    <row r="25" spans="1:9" x14ac:dyDescent="0.3">
      <c r="A25" t="s">
        <v>21</v>
      </c>
      <c r="B25" t="s">
        <v>22</v>
      </c>
      <c r="C25">
        <v>1140021.51</v>
      </c>
      <c r="D25">
        <v>14.37</v>
      </c>
      <c r="E25">
        <v>28.01</v>
      </c>
      <c r="F25">
        <v>80.61</v>
      </c>
      <c r="G25">
        <v>565752.11867667921</v>
      </c>
      <c r="H25">
        <v>491478.00977547542</v>
      </c>
      <c r="I25">
        <v>1.1511239718001289</v>
      </c>
    </row>
    <row r="26" spans="1:9" x14ac:dyDescent="0.3">
      <c r="A26" t="s">
        <v>9</v>
      </c>
      <c r="B26" t="s">
        <v>23</v>
      </c>
      <c r="C26">
        <v>1173709.6299999999</v>
      </c>
      <c r="D26">
        <v>15.52</v>
      </c>
      <c r="E26">
        <v>28.77</v>
      </c>
      <c r="F26">
        <v>61.93</v>
      </c>
      <c r="G26">
        <v>658439.08389516897</v>
      </c>
      <c r="H26">
        <v>473019.08752562181</v>
      </c>
      <c r="I26">
        <v>1.391992630414906</v>
      </c>
    </row>
    <row r="27" spans="1:9" x14ac:dyDescent="0.3">
      <c r="A27" t="s">
        <v>11</v>
      </c>
      <c r="B27" t="s">
        <v>23</v>
      </c>
      <c r="C27">
        <v>1005701.67</v>
      </c>
      <c r="D27">
        <v>14.08</v>
      </c>
      <c r="E27">
        <v>31.1</v>
      </c>
      <c r="F27">
        <v>71.930000000000007</v>
      </c>
      <c r="G27">
        <v>636966.00187135395</v>
      </c>
      <c r="H27">
        <v>429291.20172209991</v>
      </c>
      <c r="I27">
        <v>1.483762069432893</v>
      </c>
    </row>
    <row r="28" spans="1:9" x14ac:dyDescent="0.3">
      <c r="A28" t="s">
        <v>12</v>
      </c>
      <c r="B28" t="s">
        <v>23</v>
      </c>
      <c r="C28">
        <v>1172853.55</v>
      </c>
      <c r="D28">
        <v>18.22</v>
      </c>
      <c r="E28">
        <v>31.25</v>
      </c>
      <c r="F28">
        <v>74.290000000000006</v>
      </c>
      <c r="G28">
        <v>559303.06668541022</v>
      </c>
      <c r="H28">
        <v>595875.80581555516</v>
      </c>
      <c r="I28">
        <v>0.93862355413226539</v>
      </c>
    </row>
    <row r="29" spans="1:9" x14ac:dyDescent="0.3">
      <c r="A29" t="s">
        <v>13</v>
      </c>
      <c r="B29" t="s">
        <v>23</v>
      </c>
      <c r="C29">
        <v>1350295.51</v>
      </c>
      <c r="D29">
        <v>19.899999999999999</v>
      </c>
      <c r="E29">
        <v>18.98</v>
      </c>
      <c r="F29">
        <v>76.150000000000006</v>
      </c>
      <c r="G29">
        <v>750307.71727521182</v>
      </c>
      <c r="H29">
        <v>561128.42303111125</v>
      </c>
      <c r="I29">
        <v>1.3371408156600191</v>
      </c>
    </row>
    <row r="30" spans="1:9" x14ac:dyDescent="0.3">
      <c r="A30" t="s">
        <v>14</v>
      </c>
      <c r="B30" t="s">
        <v>23</v>
      </c>
      <c r="C30">
        <v>1245502.83</v>
      </c>
      <c r="D30">
        <v>16</v>
      </c>
      <c r="E30">
        <v>37.08</v>
      </c>
      <c r="F30">
        <v>63.33</v>
      </c>
      <c r="G30">
        <v>773323.30402730161</v>
      </c>
      <c r="H30">
        <v>657218.81934959418</v>
      </c>
      <c r="I30">
        <v>1.1766603165454721</v>
      </c>
    </row>
    <row r="31" spans="1:9" x14ac:dyDescent="0.3">
      <c r="A31" t="s">
        <v>15</v>
      </c>
      <c r="B31" t="s">
        <v>23</v>
      </c>
      <c r="C31">
        <v>1515065.63</v>
      </c>
      <c r="D31">
        <v>15.43</v>
      </c>
      <c r="E31">
        <v>32.130000000000003</v>
      </c>
      <c r="F31">
        <v>69.83</v>
      </c>
      <c r="G31">
        <v>830103.80554153118</v>
      </c>
      <c r="H31">
        <v>706980.94482388336</v>
      </c>
      <c r="I31">
        <v>1.174153011629723</v>
      </c>
    </row>
    <row r="32" spans="1:9" x14ac:dyDescent="0.3">
      <c r="A32" t="s">
        <v>16</v>
      </c>
      <c r="B32" t="s">
        <v>23</v>
      </c>
      <c r="C32">
        <v>1173552.98</v>
      </c>
      <c r="D32">
        <v>11.84</v>
      </c>
      <c r="E32">
        <v>36.479999999999997</v>
      </c>
      <c r="F32">
        <v>70.180000000000007</v>
      </c>
      <c r="G32">
        <v>716508.21902662003</v>
      </c>
      <c r="H32">
        <v>560700.93149676989</v>
      </c>
      <c r="I32">
        <v>1.277879487557029</v>
      </c>
    </row>
    <row r="33" spans="1:9" x14ac:dyDescent="0.3">
      <c r="A33" t="s">
        <v>17</v>
      </c>
      <c r="B33" t="s">
        <v>23</v>
      </c>
      <c r="C33">
        <v>1366658.31</v>
      </c>
      <c r="D33">
        <v>14.55</v>
      </c>
      <c r="E33">
        <v>35.020000000000003</v>
      </c>
      <c r="F33">
        <v>71.540000000000006</v>
      </c>
      <c r="G33">
        <v>626126.12569225056</v>
      </c>
      <c r="H33">
        <v>745841.13493877521</v>
      </c>
      <c r="I33">
        <v>0.83948993472350286</v>
      </c>
    </row>
    <row r="34" spans="1:9" x14ac:dyDescent="0.3">
      <c r="A34" t="s">
        <v>18</v>
      </c>
      <c r="B34" t="s">
        <v>23</v>
      </c>
      <c r="C34">
        <v>1346190.53</v>
      </c>
      <c r="D34">
        <v>19.61</v>
      </c>
      <c r="E34">
        <v>19.440000000000001</v>
      </c>
      <c r="F34">
        <v>63.4</v>
      </c>
      <c r="G34">
        <v>617492.85179310467</v>
      </c>
      <c r="H34">
        <v>483924.23810998083</v>
      </c>
      <c r="I34">
        <v>1.276011414910794</v>
      </c>
    </row>
    <row r="35" spans="1:9" x14ac:dyDescent="0.3">
      <c r="A35" t="s">
        <v>19</v>
      </c>
      <c r="B35" t="s">
        <v>23</v>
      </c>
      <c r="C35">
        <v>1081297.48</v>
      </c>
      <c r="D35">
        <v>12.28</v>
      </c>
      <c r="E35">
        <v>23.47</v>
      </c>
      <c r="F35">
        <v>64.7</v>
      </c>
      <c r="G35">
        <v>543112.82346284832</v>
      </c>
      <c r="H35">
        <v>519661.16474513349</v>
      </c>
      <c r="I35">
        <v>1.0451287498436901</v>
      </c>
    </row>
    <row r="36" spans="1:9" x14ac:dyDescent="0.3">
      <c r="A36" t="s">
        <v>20</v>
      </c>
      <c r="B36" t="s">
        <v>23</v>
      </c>
      <c r="C36">
        <v>1392104.68</v>
      </c>
      <c r="D36">
        <v>16.38</v>
      </c>
      <c r="E36">
        <v>20.49</v>
      </c>
      <c r="F36">
        <v>71.13</v>
      </c>
      <c r="G36">
        <v>729754.03043689474</v>
      </c>
      <c r="H36">
        <v>522300.23960971198</v>
      </c>
      <c r="I36">
        <v>1.397192601267482</v>
      </c>
    </row>
    <row r="37" spans="1:9" x14ac:dyDescent="0.3">
      <c r="A37" t="s">
        <v>21</v>
      </c>
      <c r="B37" t="s">
        <v>23</v>
      </c>
      <c r="C37">
        <v>940402.6</v>
      </c>
      <c r="D37">
        <v>14.33</v>
      </c>
      <c r="E37">
        <v>22.28</v>
      </c>
      <c r="F37">
        <v>84.78</v>
      </c>
      <c r="G37">
        <v>467970.94918786391</v>
      </c>
      <c r="H37">
        <v>345830.27810764738</v>
      </c>
      <c r="I37">
        <v>1.3531809641857491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7"/>
  <sheetViews>
    <sheetView tabSelected="1" workbookViewId="0">
      <pane ySplit="1" topLeftCell="A14" activePane="bottomLeft" state="frozen"/>
      <selection pane="bottomLeft" activeCell="J11" sqref="J11"/>
    </sheetView>
  </sheetViews>
  <sheetFormatPr defaultRowHeight="14.4" x14ac:dyDescent="0.3"/>
  <cols>
    <col min="1" max="1" width="18.21875" customWidth="1"/>
    <col min="2" max="2" width="18.6640625" customWidth="1"/>
    <col min="3" max="3" width="24.5546875" customWidth="1"/>
    <col min="4" max="4" width="31" customWidth="1"/>
    <col min="5" max="5" width="28.33203125" customWidth="1"/>
    <col min="6" max="6" width="32.109375" customWidth="1"/>
  </cols>
  <sheetData>
    <row r="1" spans="1:8" x14ac:dyDescent="0.3">
      <c r="A1" s="1" t="s">
        <v>0</v>
      </c>
      <c r="B1" s="1" t="s">
        <v>1</v>
      </c>
      <c r="C1" s="1" t="s">
        <v>24</v>
      </c>
      <c r="D1" s="1" t="s">
        <v>25</v>
      </c>
      <c r="E1" s="1" t="s">
        <v>26</v>
      </c>
      <c r="F1" s="1" t="s">
        <v>27</v>
      </c>
    </row>
    <row r="2" spans="1:8" x14ac:dyDescent="0.3">
      <c r="A2" t="s">
        <v>9</v>
      </c>
      <c r="B2" t="s">
        <v>10</v>
      </c>
      <c r="C2">
        <v>24.98</v>
      </c>
      <c r="D2">
        <v>11.72</v>
      </c>
      <c r="E2">
        <v>20.5</v>
      </c>
      <c r="F2">
        <v>33.72</v>
      </c>
      <c r="H2">
        <f>C2-E2</f>
        <v>4.4800000000000004</v>
      </c>
    </row>
    <row r="3" spans="1:8" x14ac:dyDescent="0.3">
      <c r="A3" t="s">
        <v>11</v>
      </c>
      <c r="B3" t="s">
        <v>10</v>
      </c>
      <c r="C3">
        <v>23.51</v>
      </c>
      <c r="D3">
        <v>14.85</v>
      </c>
      <c r="E3">
        <v>16.190000000000001</v>
      </c>
      <c r="F3">
        <v>39.869999999999997</v>
      </c>
      <c r="H3">
        <f>C3-E3</f>
        <v>7.32</v>
      </c>
    </row>
    <row r="4" spans="1:8" x14ac:dyDescent="0.3">
      <c r="A4" t="s">
        <v>12</v>
      </c>
      <c r="B4" t="s">
        <v>10</v>
      </c>
      <c r="C4">
        <v>21.46</v>
      </c>
      <c r="D4">
        <v>14.83</v>
      </c>
      <c r="E4">
        <v>16.88</v>
      </c>
      <c r="F4">
        <v>41.74</v>
      </c>
      <c r="H4">
        <f t="shared" ref="H4:H37" si="0">C4-E4</f>
        <v>4.5800000000000018</v>
      </c>
    </row>
    <row r="5" spans="1:8" x14ac:dyDescent="0.3">
      <c r="A5" t="s">
        <v>13</v>
      </c>
      <c r="B5" t="s">
        <v>10</v>
      </c>
      <c r="C5">
        <v>23.81</v>
      </c>
      <c r="D5">
        <v>16.07</v>
      </c>
      <c r="E5">
        <v>22.68</v>
      </c>
      <c r="F5">
        <v>44.97</v>
      </c>
      <c r="H5">
        <f t="shared" si="0"/>
        <v>1.129999999999999</v>
      </c>
    </row>
    <row r="6" spans="1:8" x14ac:dyDescent="0.3">
      <c r="A6" t="s">
        <v>14</v>
      </c>
      <c r="B6" t="s">
        <v>10</v>
      </c>
      <c r="C6">
        <v>23.39</v>
      </c>
      <c r="D6">
        <v>18.28</v>
      </c>
      <c r="E6">
        <v>17.16</v>
      </c>
      <c r="F6">
        <v>47.18</v>
      </c>
      <c r="H6">
        <f t="shared" si="0"/>
        <v>6.23</v>
      </c>
    </row>
    <row r="7" spans="1:8" x14ac:dyDescent="0.3">
      <c r="A7" t="s">
        <v>15</v>
      </c>
      <c r="B7" t="s">
        <v>10</v>
      </c>
      <c r="C7">
        <v>25.04</v>
      </c>
      <c r="D7">
        <v>17.95</v>
      </c>
      <c r="E7">
        <v>20.89</v>
      </c>
      <c r="F7">
        <v>35.65</v>
      </c>
      <c r="H7">
        <f t="shared" si="0"/>
        <v>4.1499999999999986</v>
      </c>
    </row>
    <row r="8" spans="1:8" x14ac:dyDescent="0.3">
      <c r="A8" t="s">
        <v>16</v>
      </c>
      <c r="B8" t="s">
        <v>10</v>
      </c>
      <c r="C8">
        <v>22.68</v>
      </c>
      <c r="D8">
        <v>17.41</v>
      </c>
      <c r="E8">
        <v>17.760000000000002</v>
      </c>
      <c r="F8">
        <v>41.77</v>
      </c>
      <c r="H8">
        <f t="shared" si="0"/>
        <v>4.9199999999999982</v>
      </c>
    </row>
    <row r="9" spans="1:8" x14ac:dyDescent="0.3">
      <c r="A9" t="s">
        <v>17</v>
      </c>
      <c r="B9" t="s">
        <v>10</v>
      </c>
      <c r="C9">
        <v>23.56</v>
      </c>
      <c r="D9">
        <v>14.98</v>
      </c>
      <c r="E9">
        <v>18.510000000000002</v>
      </c>
      <c r="F9">
        <v>40.57</v>
      </c>
      <c r="H9">
        <f t="shared" si="0"/>
        <v>5.0499999999999972</v>
      </c>
    </row>
    <row r="10" spans="1:8" x14ac:dyDescent="0.3">
      <c r="A10" t="s">
        <v>18</v>
      </c>
      <c r="B10" t="s">
        <v>10</v>
      </c>
      <c r="C10">
        <v>26.74</v>
      </c>
      <c r="D10">
        <v>15.68</v>
      </c>
      <c r="E10">
        <v>20.399999999999999</v>
      </c>
      <c r="F10">
        <v>38.43</v>
      </c>
      <c r="H10">
        <f t="shared" si="0"/>
        <v>6.34</v>
      </c>
    </row>
    <row r="11" spans="1:8" x14ac:dyDescent="0.3">
      <c r="A11" t="s">
        <v>19</v>
      </c>
      <c r="B11" t="s">
        <v>10</v>
      </c>
      <c r="C11">
        <v>25.25</v>
      </c>
      <c r="D11">
        <v>15.14</v>
      </c>
      <c r="E11">
        <v>18.11</v>
      </c>
      <c r="F11">
        <v>36.729999999999997</v>
      </c>
      <c r="H11">
        <f t="shared" si="0"/>
        <v>7.1400000000000006</v>
      </c>
    </row>
    <row r="12" spans="1:8" x14ac:dyDescent="0.3">
      <c r="A12" t="s">
        <v>20</v>
      </c>
      <c r="B12" t="s">
        <v>10</v>
      </c>
      <c r="C12">
        <v>25.02</v>
      </c>
      <c r="D12">
        <v>14.68</v>
      </c>
      <c r="E12">
        <v>21.34</v>
      </c>
      <c r="F12">
        <v>42.83</v>
      </c>
      <c r="H12">
        <f t="shared" si="0"/>
        <v>3.6799999999999997</v>
      </c>
    </row>
    <row r="13" spans="1:8" x14ac:dyDescent="0.3">
      <c r="A13" t="s">
        <v>21</v>
      </c>
      <c r="B13" t="s">
        <v>10</v>
      </c>
      <c r="C13">
        <v>22.29</v>
      </c>
      <c r="D13">
        <v>15.75</v>
      </c>
      <c r="E13">
        <v>20.58</v>
      </c>
      <c r="F13">
        <v>37.92</v>
      </c>
      <c r="H13">
        <f t="shared" si="0"/>
        <v>1.7100000000000009</v>
      </c>
    </row>
    <row r="14" spans="1:8" x14ac:dyDescent="0.3">
      <c r="A14" t="s">
        <v>9</v>
      </c>
      <c r="B14" t="s">
        <v>22</v>
      </c>
      <c r="C14">
        <v>29.47</v>
      </c>
      <c r="D14">
        <v>17.77</v>
      </c>
      <c r="E14">
        <v>20.149999999999999</v>
      </c>
      <c r="F14">
        <v>31.44</v>
      </c>
      <c r="H14">
        <f t="shared" si="0"/>
        <v>9.32</v>
      </c>
    </row>
    <row r="15" spans="1:8" x14ac:dyDescent="0.3">
      <c r="A15" t="s">
        <v>11</v>
      </c>
      <c r="B15" t="s">
        <v>22</v>
      </c>
      <c r="C15">
        <v>24.05</v>
      </c>
      <c r="D15">
        <v>13.03</v>
      </c>
      <c r="E15">
        <v>17.03</v>
      </c>
      <c r="F15">
        <v>40.39</v>
      </c>
      <c r="H15">
        <f t="shared" si="0"/>
        <v>7.02</v>
      </c>
    </row>
    <row r="16" spans="1:8" x14ac:dyDescent="0.3">
      <c r="A16" t="s">
        <v>12</v>
      </c>
      <c r="B16" t="s">
        <v>22</v>
      </c>
      <c r="C16">
        <v>26.3</v>
      </c>
      <c r="D16">
        <v>12.04</v>
      </c>
      <c r="E16">
        <v>16.2</v>
      </c>
      <c r="F16">
        <v>39.200000000000003</v>
      </c>
      <c r="H16">
        <f t="shared" si="0"/>
        <v>10.100000000000001</v>
      </c>
    </row>
    <row r="17" spans="1:8" x14ac:dyDescent="0.3">
      <c r="A17" t="s">
        <v>13</v>
      </c>
      <c r="B17" t="s">
        <v>22</v>
      </c>
      <c r="C17">
        <v>20.27</v>
      </c>
      <c r="D17">
        <v>11.11</v>
      </c>
      <c r="E17">
        <v>22.49</v>
      </c>
      <c r="F17">
        <v>36.14</v>
      </c>
      <c r="H17">
        <f t="shared" si="0"/>
        <v>-2.2199999999999989</v>
      </c>
    </row>
    <row r="18" spans="1:8" x14ac:dyDescent="0.3">
      <c r="A18" t="s">
        <v>14</v>
      </c>
      <c r="B18" t="s">
        <v>22</v>
      </c>
      <c r="C18">
        <v>22.11</v>
      </c>
      <c r="D18">
        <v>13.83</v>
      </c>
      <c r="E18">
        <v>20.7</v>
      </c>
      <c r="F18">
        <v>36.76</v>
      </c>
      <c r="H18">
        <f t="shared" si="0"/>
        <v>1.4100000000000001</v>
      </c>
    </row>
    <row r="19" spans="1:8" x14ac:dyDescent="0.3">
      <c r="A19" t="s">
        <v>15</v>
      </c>
      <c r="B19" t="s">
        <v>22</v>
      </c>
      <c r="C19">
        <v>24.16</v>
      </c>
      <c r="D19">
        <v>17.829999999999998</v>
      </c>
      <c r="E19">
        <v>23.68</v>
      </c>
      <c r="F19">
        <v>35.409999999999997</v>
      </c>
      <c r="H19">
        <f t="shared" si="0"/>
        <v>0.48000000000000043</v>
      </c>
    </row>
    <row r="20" spans="1:8" x14ac:dyDescent="0.3">
      <c r="A20" t="s">
        <v>16</v>
      </c>
      <c r="B20" t="s">
        <v>22</v>
      </c>
      <c r="C20">
        <v>23.05</v>
      </c>
      <c r="D20">
        <v>11.65</v>
      </c>
      <c r="E20">
        <v>24.69</v>
      </c>
      <c r="F20">
        <v>41.81</v>
      </c>
      <c r="H20">
        <f t="shared" si="0"/>
        <v>-1.6400000000000006</v>
      </c>
    </row>
    <row r="21" spans="1:8" x14ac:dyDescent="0.3">
      <c r="A21" t="s">
        <v>17</v>
      </c>
      <c r="B21" t="s">
        <v>22</v>
      </c>
      <c r="C21">
        <v>28.74</v>
      </c>
      <c r="D21">
        <v>12.58</v>
      </c>
      <c r="E21">
        <v>20.03</v>
      </c>
      <c r="F21">
        <v>42.71</v>
      </c>
      <c r="H21">
        <f t="shared" si="0"/>
        <v>8.7099999999999973</v>
      </c>
    </row>
    <row r="22" spans="1:8" x14ac:dyDescent="0.3">
      <c r="A22" t="s">
        <v>18</v>
      </c>
      <c r="B22" t="s">
        <v>22</v>
      </c>
      <c r="C22">
        <v>22.64</v>
      </c>
      <c r="D22">
        <v>14.75</v>
      </c>
      <c r="E22">
        <v>22.82</v>
      </c>
      <c r="F22">
        <v>45.77</v>
      </c>
      <c r="H22">
        <f t="shared" si="0"/>
        <v>-0.17999999999999972</v>
      </c>
    </row>
    <row r="23" spans="1:8" x14ac:dyDescent="0.3">
      <c r="A23" t="s">
        <v>19</v>
      </c>
      <c r="B23" t="s">
        <v>22</v>
      </c>
      <c r="C23">
        <v>25.83</v>
      </c>
      <c r="D23">
        <v>15.15</v>
      </c>
      <c r="E23">
        <v>19.48</v>
      </c>
      <c r="F23">
        <v>40.57</v>
      </c>
      <c r="H23">
        <f t="shared" si="0"/>
        <v>6.3499999999999979</v>
      </c>
    </row>
    <row r="24" spans="1:8" x14ac:dyDescent="0.3">
      <c r="A24" t="s">
        <v>20</v>
      </c>
      <c r="B24" t="s">
        <v>22</v>
      </c>
      <c r="C24">
        <v>22.37</v>
      </c>
      <c r="D24">
        <v>10.8</v>
      </c>
      <c r="E24">
        <v>14.86</v>
      </c>
      <c r="F24">
        <v>36.369999999999997</v>
      </c>
      <c r="H24">
        <f t="shared" si="0"/>
        <v>7.5100000000000016</v>
      </c>
    </row>
    <row r="25" spans="1:8" x14ac:dyDescent="0.3">
      <c r="A25" t="s">
        <v>21</v>
      </c>
      <c r="B25" t="s">
        <v>22</v>
      </c>
      <c r="C25">
        <v>19.920000000000002</v>
      </c>
      <c r="D25">
        <v>15.22</v>
      </c>
      <c r="E25">
        <v>18.649999999999999</v>
      </c>
      <c r="F25">
        <v>36.799999999999997</v>
      </c>
      <c r="H25">
        <f t="shared" si="0"/>
        <v>1.2700000000000031</v>
      </c>
    </row>
    <row r="26" spans="1:8" x14ac:dyDescent="0.3">
      <c r="A26" t="s">
        <v>9</v>
      </c>
      <c r="B26" t="s">
        <v>23</v>
      </c>
      <c r="C26">
        <v>22.85</v>
      </c>
      <c r="D26">
        <v>14.66</v>
      </c>
      <c r="E26">
        <v>18.3</v>
      </c>
      <c r="F26">
        <v>41.2</v>
      </c>
      <c r="H26">
        <f t="shared" si="0"/>
        <v>4.5500000000000007</v>
      </c>
    </row>
    <row r="27" spans="1:8" x14ac:dyDescent="0.3">
      <c r="A27" t="s">
        <v>11</v>
      </c>
      <c r="B27" t="s">
        <v>23</v>
      </c>
      <c r="C27">
        <v>29.87</v>
      </c>
      <c r="D27">
        <v>13.8</v>
      </c>
      <c r="E27">
        <v>19.079999999999998</v>
      </c>
      <c r="F27">
        <v>36.049999999999997</v>
      </c>
      <c r="H27">
        <f t="shared" si="0"/>
        <v>10.790000000000003</v>
      </c>
    </row>
    <row r="28" spans="1:8" x14ac:dyDescent="0.3">
      <c r="A28" t="s">
        <v>12</v>
      </c>
      <c r="B28" t="s">
        <v>23</v>
      </c>
      <c r="C28">
        <v>24.38</v>
      </c>
      <c r="D28">
        <v>15.85</v>
      </c>
      <c r="E28">
        <v>23.47</v>
      </c>
      <c r="F28">
        <v>37.36</v>
      </c>
      <c r="H28">
        <f t="shared" si="0"/>
        <v>0.91000000000000014</v>
      </c>
    </row>
    <row r="29" spans="1:8" x14ac:dyDescent="0.3">
      <c r="A29" t="s">
        <v>13</v>
      </c>
      <c r="B29" t="s">
        <v>23</v>
      </c>
      <c r="C29">
        <v>24.37</v>
      </c>
      <c r="D29">
        <v>11.63</v>
      </c>
      <c r="E29">
        <v>25.4</v>
      </c>
      <c r="F29">
        <v>37.17</v>
      </c>
      <c r="H29">
        <f t="shared" si="0"/>
        <v>-1.0299999999999976</v>
      </c>
    </row>
    <row r="30" spans="1:8" x14ac:dyDescent="0.3">
      <c r="A30" t="s">
        <v>14</v>
      </c>
      <c r="B30" t="s">
        <v>23</v>
      </c>
      <c r="C30">
        <v>27.17</v>
      </c>
      <c r="D30">
        <v>16.11</v>
      </c>
      <c r="E30">
        <v>19.64</v>
      </c>
      <c r="F30">
        <v>40.479999999999997</v>
      </c>
      <c r="H30">
        <f t="shared" si="0"/>
        <v>7.5300000000000011</v>
      </c>
    </row>
    <row r="31" spans="1:8" x14ac:dyDescent="0.3">
      <c r="A31" t="s">
        <v>15</v>
      </c>
      <c r="B31" t="s">
        <v>23</v>
      </c>
      <c r="C31">
        <v>24.38</v>
      </c>
      <c r="D31">
        <v>15.99</v>
      </c>
      <c r="E31">
        <v>18.14</v>
      </c>
      <c r="F31">
        <v>46.19</v>
      </c>
      <c r="H31">
        <f t="shared" si="0"/>
        <v>6.2399999999999984</v>
      </c>
    </row>
    <row r="32" spans="1:8" x14ac:dyDescent="0.3">
      <c r="A32" t="s">
        <v>16</v>
      </c>
      <c r="B32" t="s">
        <v>23</v>
      </c>
      <c r="C32">
        <v>25.24</v>
      </c>
      <c r="D32">
        <v>15.96</v>
      </c>
      <c r="E32">
        <v>18.09</v>
      </c>
      <c r="F32">
        <v>44.35</v>
      </c>
      <c r="H32">
        <f t="shared" si="0"/>
        <v>7.1499999999999986</v>
      </c>
    </row>
    <row r="33" spans="1:8" x14ac:dyDescent="0.3">
      <c r="A33" t="s">
        <v>17</v>
      </c>
      <c r="B33" t="s">
        <v>23</v>
      </c>
      <c r="C33">
        <v>25.01</v>
      </c>
      <c r="D33">
        <v>12.86</v>
      </c>
      <c r="E33">
        <v>20.65</v>
      </c>
      <c r="F33">
        <v>45.84</v>
      </c>
      <c r="H33">
        <f t="shared" si="0"/>
        <v>4.360000000000003</v>
      </c>
    </row>
    <row r="34" spans="1:8" x14ac:dyDescent="0.3">
      <c r="A34" t="s">
        <v>18</v>
      </c>
      <c r="B34" t="s">
        <v>23</v>
      </c>
      <c r="C34">
        <v>27.3</v>
      </c>
      <c r="D34">
        <v>14.61</v>
      </c>
      <c r="E34">
        <v>13.76</v>
      </c>
      <c r="F34">
        <v>40.61</v>
      </c>
      <c r="H34">
        <f t="shared" si="0"/>
        <v>13.540000000000001</v>
      </c>
    </row>
    <row r="35" spans="1:8" x14ac:dyDescent="0.3">
      <c r="A35" t="s">
        <v>19</v>
      </c>
      <c r="B35" t="s">
        <v>23</v>
      </c>
      <c r="C35">
        <v>27.41</v>
      </c>
      <c r="D35">
        <v>15.25</v>
      </c>
      <c r="E35">
        <v>18.54</v>
      </c>
      <c r="F35">
        <v>43.55</v>
      </c>
      <c r="H35">
        <f t="shared" si="0"/>
        <v>8.870000000000001</v>
      </c>
    </row>
    <row r="36" spans="1:8" x14ac:dyDescent="0.3">
      <c r="A36" t="s">
        <v>20</v>
      </c>
      <c r="B36" t="s">
        <v>23</v>
      </c>
      <c r="C36">
        <v>24.26</v>
      </c>
      <c r="D36">
        <v>13.14</v>
      </c>
      <c r="E36">
        <v>20.79</v>
      </c>
      <c r="F36">
        <v>40.43</v>
      </c>
      <c r="H36">
        <f t="shared" si="0"/>
        <v>3.4700000000000024</v>
      </c>
    </row>
    <row r="37" spans="1:8" x14ac:dyDescent="0.3">
      <c r="A37" t="s">
        <v>21</v>
      </c>
      <c r="B37" t="s">
        <v>23</v>
      </c>
      <c r="C37">
        <v>24.64</v>
      </c>
      <c r="D37">
        <v>12.44</v>
      </c>
      <c r="E37">
        <v>16.829999999999998</v>
      </c>
      <c r="F37">
        <v>41.09</v>
      </c>
      <c r="H37">
        <f t="shared" si="0"/>
        <v>7.8100000000000023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7"/>
  <sheetViews>
    <sheetView workbookViewId="0">
      <pane ySplit="1" topLeftCell="A2" activePane="bottomLeft" state="frozen"/>
      <selection pane="bottomLeft" activeCell="B38" sqref="B38"/>
    </sheetView>
  </sheetViews>
  <sheetFormatPr defaultRowHeight="14.4" x14ac:dyDescent="0.3"/>
  <cols>
    <col min="1" max="1" width="15" customWidth="1"/>
    <col min="2" max="2" width="23.33203125" customWidth="1"/>
    <col min="3" max="3" width="26.6640625" customWidth="1"/>
    <col min="4" max="4" width="22.77734375" customWidth="1"/>
    <col min="5" max="5" width="21.77734375" customWidth="1"/>
    <col min="6" max="6" width="25.44140625" customWidth="1"/>
  </cols>
  <sheetData>
    <row r="1" spans="1:6" x14ac:dyDescent="0.3">
      <c r="A1" s="1" t="s">
        <v>0</v>
      </c>
      <c r="B1" s="1" t="s">
        <v>1</v>
      </c>
      <c r="C1" s="1" t="s">
        <v>28</v>
      </c>
      <c r="D1" s="1" t="s">
        <v>29</v>
      </c>
      <c r="E1" s="1" t="s">
        <v>30</v>
      </c>
      <c r="F1" s="1" t="s">
        <v>31</v>
      </c>
    </row>
    <row r="2" spans="1:6" x14ac:dyDescent="0.3">
      <c r="A2" t="s">
        <v>9</v>
      </c>
      <c r="B2" t="s">
        <v>10</v>
      </c>
      <c r="C2">
        <v>60.78</v>
      </c>
      <c r="D2">
        <v>44.84</v>
      </c>
      <c r="E2">
        <v>27.17</v>
      </c>
      <c r="F2">
        <v>66.83</v>
      </c>
    </row>
    <row r="3" spans="1:6" x14ac:dyDescent="0.3">
      <c r="A3" t="s">
        <v>11</v>
      </c>
      <c r="B3" t="s">
        <v>10</v>
      </c>
      <c r="C3">
        <v>59.29</v>
      </c>
      <c r="D3">
        <v>53.93</v>
      </c>
      <c r="E3">
        <v>28.07</v>
      </c>
      <c r="F3">
        <v>59.77</v>
      </c>
    </row>
    <row r="4" spans="1:6" x14ac:dyDescent="0.3">
      <c r="A4" t="s">
        <v>12</v>
      </c>
      <c r="B4" t="s">
        <v>10</v>
      </c>
      <c r="C4">
        <v>58.84</v>
      </c>
      <c r="D4">
        <v>40.04</v>
      </c>
      <c r="E4">
        <v>25.62</v>
      </c>
      <c r="F4">
        <v>74.16</v>
      </c>
    </row>
    <row r="5" spans="1:6" x14ac:dyDescent="0.3">
      <c r="A5" t="s">
        <v>13</v>
      </c>
      <c r="B5" t="s">
        <v>10</v>
      </c>
      <c r="C5">
        <v>61.47</v>
      </c>
      <c r="D5">
        <v>41.25</v>
      </c>
      <c r="E5">
        <v>20.56</v>
      </c>
      <c r="F5">
        <v>74.040000000000006</v>
      </c>
    </row>
    <row r="6" spans="1:6" x14ac:dyDescent="0.3">
      <c r="A6" t="s">
        <v>14</v>
      </c>
      <c r="B6" t="s">
        <v>10</v>
      </c>
      <c r="C6">
        <v>62.63</v>
      </c>
      <c r="D6">
        <v>41.12</v>
      </c>
      <c r="E6">
        <v>39</v>
      </c>
      <c r="F6">
        <v>66.87</v>
      </c>
    </row>
    <row r="7" spans="1:6" x14ac:dyDescent="0.3">
      <c r="A7" t="s">
        <v>15</v>
      </c>
      <c r="B7" t="s">
        <v>10</v>
      </c>
      <c r="C7">
        <v>67.88</v>
      </c>
      <c r="D7">
        <v>37.21</v>
      </c>
      <c r="E7">
        <v>26.49</v>
      </c>
      <c r="F7">
        <v>71.53</v>
      </c>
    </row>
    <row r="8" spans="1:6" x14ac:dyDescent="0.3">
      <c r="A8" t="s">
        <v>16</v>
      </c>
      <c r="B8" t="s">
        <v>10</v>
      </c>
      <c r="C8">
        <v>59.57</v>
      </c>
      <c r="D8">
        <v>47.37</v>
      </c>
      <c r="E8">
        <v>38.5</v>
      </c>
      <c r="F8">
        <v>64.28</v>
      </c>
    </row>
    <row r="9" spans="1:6" x14ac:dyDescent="0.3">
      <c r="A9" t="s">
        <v>17</v>
      </c>
      <c r="B9" t="s">
        <v>10</v>
      </c>
      <c r="C9">
        <v>56.66</v>
      </c>
      <c r="D9">
        <v>50.11</v>
      </c>
      <c r="E9">
        <v>27.38</v>
      </c>
      <c r="F9">
        <v>70.290000000000006</v>
      </c>
    </row>
    <row r="10" spans="1:6" x14ac:dyDescent="0.3">
      <c r="A10" t="s">
        <v>18</v>
      </c>
      <c r="B10" t="s">
        <v>10</v>
      </c>
      <c r="C10">
        <v>60.85</v>
      </c>
      <c r="D10">
        <v>54.17</v>
      </c>
      <c r="E10">
        <v>33.520000000000003</v>
      </c>
      <c r="F10">
        <v>57.67</v>
      </c>
    </row>
    <row r="11" spans="1:6" x14ac:dyDescent="0.3">
      <c r="A11" t="s">
        <v>19</v>
      </c>
      <c r="B11" t="s">
        <v>10</v>
      </c>
      <c r="C11">
        <v>67.2</v>
      </c>
      <c r="D11">
        <v>44.32</v>
      </c>
      <c r="E11">
        <v>25.35</v>
      </c>
      <c r="F11">
        <v>62.67</v>
      </c>
    </row>
    <row r="12" spans="1:6" x14ac:dyDescent="0.3">
      <c r="A12" t="s">
        <v>20</v>
      </c>
      <c r="B12" t="s">
        <v>10</v>
      </c>
      <c r="C12">
        <v>55.03</v>
      </c>
      <c r="D12">
        <v>48.02</v>
      </c>
      <c r="E12">
        <v>29.7</v>
      </c>
      <c r="F12">
        <v>55.54</v>
      </c>
    </row>
    <row r="13" spans="1:6" x14ac:dyDescent="0.3">
      <c r="A13" t="s">
        <v>21</v>
      </c>
      <c r="B13" t="s">
        <v>10</v>
      </c>
      <c r="C13">
        <v>63.29</v>
      </c>
      <c r="D13">
        <v>47.34</v>
      </c>
      <c r="E13">
        <v>31.36</v>
      </c>
      <c r="F13">
        <v>71.75</v>
      </c>
    </row>
    <row r="14" spans="1:6" x14ac:dyDescent="0.3">
      <c r="A14" t="s">
        <v>9</v>
      </c>
      <c r="B14" t="s">
        <v>22</v>
      </c>
      <c r="C14">
        <v>73.62</v>
      </c>
      <c r="D14">
        <v>41.24</v>
      </c>
      <c r="E14">
        <v>29.47</v>
      </c>
      <c r="F14">
        <v>78.180000000000007</v>
      </c>
    </row>
    <row r="15" spans="1:6" x14ac:dyDescent="0.3">
      <c r="A15" t="s">
        <v>11</v>
      </c>
      <c r="B15" t="s">
        <v>22</v>
      </c>
      <c r="C15">
        <v>53.07</v>
      </c>
      <c r="D15">
        <v>49.15</v>
      </c>
      <c r="E15">
        <v>34.42</v>
      </c>
      <c r="F15">
        <v>70.099999999999994</v>
      </c>
    </row>
    <row r="16" spans="1:6" x14ac:dyDescent="0.3">
      <c r="A16" t="s">
        <v>12</v>
      </c>
      <c r="B16" t="s">
        <v>22</v>
      </c>
      <c r="C16">
        <v>51.28</v>
      </c>
      <c r="D16">
        <v>36.65</v>
      </c>
      <c r="E16">
        <v>27.54</v>
      </c>
      <c r="F16">
        <v>58.52</v>
      </c>
    </row>
    <row r="17" spans="1:6" x14ac:dyDescent="0.3">
      <c r="A17" t="s">
        <v>13</v>
      </c>
      <c r="B17" t="s">
        <v>22</v>
      </c>
      <c r="C17">
        <v>57.14</v>
      </c>
      <c r="D17">
        <v>52.54</v>
      </c>
      <c r="E17">
        <v>36.04</v>
      </c>
      <c r="F17">
        <v>63.75</v>
      </c>
    </row>
    <row r="18" spans="1:6" x14ac:dyDescent="0.3">
      <c r="A18" t="s">
        <v>14</v>
      </c>
      <c r="B18" t="s">
        <v>22</v>
      </c>
      <c r="C18">
        <v>63.13</v>
      </c>
      <c r="D18">
        <v>41.35</v>
      </c>
      <c r="E18">
        <v>25.39</v>
      </c>
      <c r="F18">
        <v>60.05</v>
      </c>
    </row>
    <row r="19" spans="1:6" x14ac:dyDescent="0.3">
      <c r="A19" t="s">
        <v>15</v>
      </c>
      <c r="B19" t="s">
        <v>22</v>
      </c>
      <c r="C19">
        <v>61.18</v>
      </c>
      <c r="D19">
        <v>49.94</v>
      </c>
      <c r="E19">
        <v>29.67</v>
      </c>
      <c r="F19">
        <v>63.1</v>
      </c>
    </row>
    <row r="20" spans="1:6" x14ac:dyDescent="0.3">
      <c r="A20" t="s">
        <v>16</v>
      </c>
      <c r="B20" t="s">
        <v>22</v>
      </c>
      <c r="C20">
        <v>57.54</v>
      </c>
      <c r="D20">
        <v>47.02</v>
      </c>
      <c r="E20">
        <v>22.54</v>
      </c>
      <c r="F20">
        <v>68.25</v>
      </c>
    </row>
    <row r="21" spans="1:6" x14ac:dyDescent="0.3">
      <c r="A21" t="s">
        <v>17</v>
      </c>
      <c r="B21" t="s">
        <v>22</v>
      </c>
      <c r="C21">
        <v>57.58</v>
      </c>
      <c r="D21">
        <v>44.06</v>
      </c>
      <c r="E21">
        <v>32.96</v>
      </c>
      <c r="F21">
        <v>67.239999999999995</v>
      </c>
    </row>
    <row r="22" spans="1:6" x14ac:dyDescent="0.3">
      <c r="A22" t="s">
        <v>18</v>
      </c>
      <c r="B22" t="s">
        <v>22</v>
      </c>
      <c r="C22">
        <v>62.5</v>
      </c>
      <c r="D22">
        <v>32.49</v>
      </c>
      <c r="E22">
        <v>28.93</v>
      </c>
      <c r="F22">
        <v>66.010000000000005</v>
      </c>
    </row>
    <row r="23" spans="1:6" x14ac:dyDescent="0.3">
      <c r="A23" t="s">
        <v>19</v>
      </c>
      <c r="B23" t="s">
        <v>22</v>
      </c>
      <c r="C23">
        <v>60.67</v>
      </c>
      <c r="D23">
        <v>46.38</v>
      </c>
      <c r="E23">
        <v>29.23</v>
      </c>
      <c r="F23">
        <v>63.58</v>
      </c>
    </row>
    <row r="24" spans="1:6" x14ac:dyDescent="0.3">
      <c r="A24" t="s">
        <v>20</v>
      </c>
      <c r="B24" t="s">
        <v>22</v>
      </c>
      <c r="C24">
        <v>56.41</v>
      </c>
      <c r="D24">
        <v>37.54</v>
      </c>
      <c r="E24">
        <v>29.28</v>
      </c>
      <c r="F24">
        <v>65.510000000000005</v>
      </c>
    </row>
    <row r="25" spans="1:6" x14ac:dyDescent="0.3">
      <c r="A25" t="s">
        <v>21</v>
      </c>
      <c r="B25" t="s">
        <v>22</v>
      </c>
      <c r="C25">
        <v>64.27</v>
      </c>
      <c r="D25">
        <v>44.25</v>
      </c>
      <c r="E25">
        <v>31.33</v>
      </c>
      <c r="F25">
        <v>67.02</v>
      </c>
    </row>
    <row r="26" spans="1:6" x14ac:dyDescent="0.3">
      <c r="A26" t="s">
        <v>9</v>
      </c>
      <c r="B26" t="s">
        <v>23</v>
      </c>
      <c r="C26">
        <v>64.67</v>
      </c>
      <c r="D26">
        <v>43.42</v>
      </c>
      <c r="E26">
        <v>29.99</v>
      </c>
      <c r="F26">
        <v>60.4</v>
      </c>
    </row>
    <row r="27" spans="1:6" x14ac:dyDescent="0.3">
      <c r="A27" t="s">
        <v>11</v>
      </c>
      <c r="B27" t="s">
        <v>23</v>
      </c>
      <c r="C27">
        <v>64.400000000000006</v>
      </c>
      <c r="D27">
        <v>49.19</v>
      </c>
      <c r="E27">
        <v>26.2</v>
      </c>
      <c r="F27">
        <v>60.84</v>
      </c>
    </row>
    <row r="28" spans="1:6" x14ac:dyDescent="0.3">
      <c r="A28" t="s">
        <v>12</v>
      </c>
      <c r="B28" t="s">
        <v>23</v>
      </c>
      <c r="C28">
        <v>59.55</v>
      </c>
      <c r="D28">
        <v>53.21</v>
      </c>
      <c r="E28">
        <v>33.51</v>
      </c>
      <c r="F28">
        <v>54.42</v>
      </c>
    </row>
    <row r="29" spans="1:6" x14ac:dyDescent="0.3">
      <c r="A29" t="s">
        <v>13</v>
      </c>
      <c r="B29" t="s">
        <v>23</v>
      </c>
      <c r="C29">
        <v>53.91</v>
      </c>
      <c r="D29">
        <v>51.12</v>
      </c>
      <c r="E29">
        <v>28.59</v>
      </c>
      <c r="F29">
        <v>67.11</v>
      </c>
    </row>
    <row r="30" spans="1:6" x14ac:dyDescent="0.3">
      <c r="A30" t="s">
        <v>14</v>
      </c>
      <c r="B30" t="s">
        <v>23</v>
      </c>
      <c r="C30">
        <v>56.1</v>
      </c>
      <c r="D30">
        <v>49.34</v>
      </c>
      <c r="E30">
        <v>36.71</v>
      </c>
      <c r="F30">
        <v>66.92</v>
      </c>
    </row>
    <row r="31" spans="1:6" x14ac:dyDescent="0.3">
      <c r="A31" t="s">
        <v>15</v>
      </c>
      <c r="B31" t="s">
        <v>23</v>
      </c>
      <c r="C31">
        <v>53.98</v>
      </c>
      <c r="D31">
        <v>44.65</v>
      </c>
      <c r="E31">
        <v>26.17</v>
      </c>
      <c r="F31">
        <v>66.3</v>
      </c>
    </row>
    <row r="32" spans="1:6" x14ac:dyDescent="0.3">
      <c r="A32" t="s">
        <v>16</v>
      </c>
      <c r="B32" t="s">
        <v>23</v>
      </c>
      <c r="C32">
        <v>59.72</v>
      </c>
      <c r="D32">
        <v>39.869999999999997</v>
      </c>
      <c r="E32">
        <v>26.3</v>
      </c>
      <c r="F32">
        <v>67.84</v>
      </c>
    </row>
    <row r="33" spans="1:6" x14ac:dyDescent="0.3">
      <c r="A33" t="s">
        <v>17</v>
      </c>
      <c r="B33" t="s">
        <v>23</v>
      </c>
      <c r="C33">
        <v>53.22</v>
      </c>
      <c r="D33">
        <v>38.39</v>
      </c>
      <c r="E33">
        <v>22.8</v>
      </c>
      <c r="F33">
        <v>57.13</v>
      </c>
    </row>
    <row r="34" spans="1:6" x14ac:dyDescent="0.3">
      <c r="A34" t="s">
        <v>18</v>
      </c>
      <c r="B34" t="s">
        <v>23</v>
      </c>
      <c r="C34">
        <v>56.27</v>
      </c>
      <c r="D34">
        <v>51.74</v>
      </c>
      <c r="E34">
        <v>35.72</v>
      </c>
      <c r="F34">
        <v>70.319999999999993</v>
      </c>
    </row>
    <row r="35" spans="1:6" x14ac:dyDescent="0.3">
      <c r="A35" t="s">
        <v>19</v>
      </c>
      <c r="B35" t="s">
        <v>23</v>
      </c>
      <c r="C35">
        <v>59.53</v>
      </c>
      <c r="D35">
        <v>47.3</v>
      </c>
      <c r="E35">
        <v>35.17</v>
      </c>
      <c r="F35">
        <v>78.02</v>
      </c>
    </row>
    <row r="36" spans="1:6" x14ac:dyDescent="0.3">
      <c r="A36" t="s">
        <v>20</v>
      </c>
      <c r="B36" t="s">
        <v>23</v>
      </c>
      <c r="C36">
        <v>57.88</v>
      </c>
      <c r="D36">
        <v>36.159999999999997</v>
      </c>
      <c r="E36">
        <v>22.31</v>
      </c>
      <c r="F36">
        <v>70.77</v>
      </c>
    </row>
    <row r="37" spans="1:6" x14ac:dyDescent="0.3">
      <c r="A37" t="s">
        <v>21</v>
      </c>
      <c r="B37" t="s">
        <v>23</v>
      </c>
      <c r="C37">
        <v>58.16</v>
      </c>
      <c r="D37">
        <v>53.62</v>
      </c>
      <c r="E37">
        <v>38.380000000000003</v>
      </c>
      <c r="F37">
        <v>58.35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de329ac-4138-47ff-b841-03f185140262">
      <Terms xmlns="http://schemas.microsoft.com/office/infopath/2007/PartnerControls"/>
    </lcf76f155ced4ddcb4097134ff3c332f>
    <TaxCatchAll xmlns="4a9721d0-a921-46a1-a3c7-cfad8c3470e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878953011AB742BB85D11D65B7ED6E" ma:contentTypeVersion="12" ma:contentTypeDescription="Create a new document." ma:contentTypeScope="" ma:versionID="9ab69a50a6fdee7af820b2e7ec0a3da1">
  <xsd:schema xmlns:xsd="http://www.w3.org/2001/XMLSchema" xmlns:xs="http://www.w3.org/2001/XMLSchema" xmlns:p="http://schemas.microsoft.com/office/2006/metadata/properties" xmlns:ns2="dde329ac-4138-47ff-b841-03f185140262" xmlns:ns3="4a9721d0-a921-46a1-a3c7-cfad8c3470e4" targetNamespace="http://schemas.microsoft.com/office/2006/metadata/properties" ma:root="true" ma:fieldsID="63dbf577bad55905da96fd39bb48b362" ns2:_="" ns3:_="">
    <xsd:import namespace="dde329ac-4138-47ff-b841-03f185140262"/>
    <xsd:import namespace="4a9721d0-a921-46a1-a3c7-cfad8c3470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e329ac-4138-47ff-b841-03f1851402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7721730-ab05-49f9-8060-880bf1bda6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21d0-a921-46a1-a3c7-cfad8c3470e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092cb7-4f40-430d-a9fe-c1356fbdc8d0}" ma:internalName="TaxCatchAll" ma:showField="CatchAllData" ma:web="4a9721d0-a921-46a1-a3c7-cfad8c3470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45198F2-75F0-4683-A509-9CDBCD113023}">
  <ds:schemaRefs>
    <ds:schemaRef ds:uri="http://schemas.microsoft.com/office/2006/metadata/properties"/>
    <ds:schemaRef ds:uri="http://schemas.microsoft.com/office/infopath/2007/PartnerControls"/>
    <ds:schemaRef ds:uri="dde329ac-4138-47ff-b841-03f185140262"/>
    <ds:schemaRef ds:uri="4a9721d0-a921-46a1-a3c7-cfad8c3470e4"/>
  </ds:schemaRefs>
</ds:datastoreItem>
</file>

<file path=customXml/itemProps2.xml><?xml version="1.0" encoding="utf-8"?>
<ds:datastoreItem xmlns:ds="http://schemas.openxmlformats.org/officeDocument/2006/customXml" ds:itemID="{E73C3BC2-F488-4440-93AA-7EE4ACBBAC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de329ac-4138-47ff-b841-03f185140262"/>
    <ds:schemaRef ds:uri="4a9721d0-a921-46a1-a3c7-cfad8c3470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DDF1887-B981-490E-9A61-BA17C0A3849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Media_Investment</vt:lpstr>
      <vt:lpstr>Market_Performance</vt:lpstr>
      <vt:lpstr>Consumer_Perception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Hardik Singh</cp:lastModifiedBy>
  <cp:revision/>
  <dcterms:created xsi:type="dcterms:W3CDTF">2025-10-20T09:00:49Z</dcterms:created>
  <dcterms:modified xsi:type="dcterms:W3CDTF">2025-12-17T05:03:45Z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0x0101006C878953011AB742BB85D11D65B7ED6E</vt:lpwstr>
  </property>
</Properties>
</file>